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5863\Documents\Teddy\NUMOC\S2\TP11\"/>
    </mc:Choice>
  </mc:AlternateContent>
  <xr:revisionPtr revIDLastSave="0" documentId="13_ncr:1_{D70E03D5-4751-4721-8237-AED8CF83CCE1}" xr6:coauthVersionLast="47" xr6:coauthVersionMax="47" xr10:uidLastSave="{00000000-0000-0000-0000-000000000000}"/>
  <bookViews>
    <workbookView xWindow="-108" yWindow="-108" windowWidth="23256" windowHeight="13896" xr2:uid="{631473D8-7552-4651-BF1A-0C9DB571A67C}"/>
  </bookViews>
  <sheets>
    <sheet name="Feuil1" sheetId="1" r:id="rId1"/>
  </sheets>
  <definedNames>
    <definedName name="_xlnm._FilterDatabase" localSheetId="0" hidden="1">Feuil1!$L$22:$L$33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" l="1"/>
  <c r="G42" i="1"/>
  <c r="G39" i="1"/>
  <c r="H5" i="1"/>
  <c r="H6" i="1"/>
  <c r="H7" i="1"/>
  <c r="H8" i="1"/>
  <c r="H9" i="1"/>
  <c r="H10" i="1"/>
  <c r="H11" i="1"/>
  <c r="H12" i="1"/>
  <c r="H13" i="1"/>
  <c r="H14" i="1"/>
  <c r="H15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L33" i="1"/>
  <c r="N33" i="1" s="1"/>
  <c r="K33" i="1"/>
  <c r="L32" i="1"/>
  <c r="N32" i="1" s="1"/>
  <c r="K32" i="1"/>
  <c r="L31" i="1"/>
  <c r="N31" i="1" s="1"/>
  <c r="K31" i="1"/>
  <c r="L30" i="1"/>
  <c r="N30" i="1" s="1"/>
  <c r="K30" i="1"/>
  <c r="L29" i="1"/>
  <c r="N29" i="1" s="1"/>
  <c r="K29" i="1"/>
  <c r="L28" i="1"/>
  <c r="N28" i="1" s="1"/>
  <c r="K28" i="1"/>
  <c r="L27" i="1"/>
  <c r="N27" i="1" s="1"/>
  <c r="K27" i="1"/>
  <c r="L26" i="1"/>
  <c r="N26" i="1" s="1"/>
  <c r="K26" i="1"/>
  <c r="L25" i="1"/>
  <c r="N25" i="1" s="1"/>
  <c r="K25" i="1"/>
  <c r="L24" i="1"/>
  <c r="N24" i="1" s="1"/>
  <c r="K24" i="1"/>
  <c r="I24" i="1"/>
  <c r="L23" i="1"/>
  <c r="N23" i="1" s="1"/>
  <c r="K23" i="1"/>
  <c r="I23" i="1"/>
  <c r="L22" i="1"/>
  <c r="N22" i="1" s="1"/>
  <c r="K22" i="1"/>
  <c r="B22" i="1" a="1"/>
  <c r="B22" i="1" s="1"/>
  <c r="N6" i="1"/>
  <c r="N7" i="1"/>
  <c r="N13" i="1"/>
  <c r="N15" i="1"/>
  <c r="N4" i="1"/>
  <c r="M5" i="1"/>
  <c r="M7" i="1"/>
  <c r="M9" i="1"/>
  <c r="M11" i="1"/>
  <c r="M15" i="1"/>
  <c r="M4" i="1"/>
  <c r="L5" i="1"/>
  <c r="N5" i="1" s="1"/>
  <c r="L6" i="1"/>
  <c r="M6" i="1" s="1"/>
  <c r="L7" i="1"/>
  <c r="L8" i="1"/>
  <c r="M8" i="1" s="1"/>
  <c r="L9" i="1"/>
  <c r="N9" i="1" s="1"/>
  <c r="L10" i="1"/>
  <c r="M10" i="1" s="1"/>
  <c r="L11" i="1"/>
  <c r="N11" i="1" s="1"/>
  <c r="L12" i="1"/>
  <c r="N12" i="1" s="1"/>
  <c r="L13" i="1"/>
  <c r="M13" i="1" s="1"/>
  <c r="L14" i="1"/>
  <c r="M14" i="1" s="1"/>
  <c r="L15" i="1"/>
  <c r="L4" i="1"/>
  <c r="K5" i="1"/>
  <c r="K6" i="1"/>
  <c r="K7" i="1"/>
  <c r="K8" i="1"/>
  <c r="K9" i="1"/>
  <c r="K10" i="1"/>
  <c r="K11" i="1"/>
  <c r="K12" i="1"/>
  <c r="K13" i="1"/>
  <c r="K14" i="1"/>
  <c r="K15" i="1"/>
  <c r="K4" i="1"/>
  <c r="C19" i="1"/>
  <c r="C18" i="1"/>
  <c r="B4" i="1" a="1"/>
  <c r="B4" i="1" s="1"/>
  <c r="N10" i="1" l="1"/>
  <c r="N8" i="1"/>
  <c r="M12" i="1"/>
  <c r="N14" i="1"/>
  <c r="M29" i="1"/>
  <c r="M26" i="1"/>
  <c r="M33" i="1"/>
  <c r="M23" i="1"/>
  <c r="M30" i="1"/>
  <c r="M27" i="1"/>
  <c r="M24" i="1"/>
  <c r="M31" i="1"/>
  <c r="M28" i="1"/>
  <c r="M22" i="1"/>
  <c r="M25" i="1"/>
  <c r="M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<sst xmlns="http://schemas.openxmlformats.org/spreadsheetml/2006/main" count="17" uniqueCount="11">
  <si>
    <t>Nombre de commande</t>
  </si>
  <si>
    <t>Frais de téléphone 2021</t>
  </si>
  <si>
    <t>Frais de téléphone 2022</t>
  </si>
  <si>
    <t>Frais de téléphone 2023</t>
  </si>
  <si>
    <t>MOYENNE</t>
  </si>
  <si>
    <t>ECART-TYPE</t>
  </si>
  <si>
    <t xml:space="preserve">    FAUSSE APPROCHE</t>
  </si>
  <si>
    <t xml:space="preserve"> VARIATION</t>
  </si>
  <si>
    <t xml:space="preserve">       PENTE</t>
  </si>
  <si>
    <t xml:space="preserve">       ORDONNEE A L'ORIGINE</t>
  </si>
  <si>
    <t xml:space="preserve">       COEFFICIENT DE 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</si>
</sst>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1" applyFont="1"/>
    <xf numFmtId="9" fontId="0" fillId="0" borderId="0" xfId="1" applyFont="1" applyFill="1"/>
    <xf numFmtId="164" fontId="0" fillId="2" borderId="0" xfId="0" applyNumberFormat="1" applyFill="1"/>
    <xf numFmtId="0" fontId="0" fillId="2" borderId="0" xfId="0" applyNumberFormat="1" applyFill="1"/>
    <xf numFmtId="0" fontId="2" fillId="2" borderId="0" xfId="0" applyFont="1" applyFill="1"/>
    <xf numFmtId="0" fontId="0" fillId="3" borderId="0" xfId="0" applyFill="1"/>
    <xf numFmtId="0" fontId="2" fillId="0" borderId="0" xfId="0" applyFont="1"/>
    <xf numFmtId="0" fontId="2" fillId="4" borderId="0" xfId="0" applyFont="1" applyFill="1"/>
    <xf numFmtId="0" fontId="2" fillId="4" borderId="0" xfId="0" applyFont="1" applyFill="1" applyAlignment="1"/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8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solidFill>
                  <a:schemeClr val="tx1"/>
                </a:solidFill>
                <a:effectLst/>
              </a:rPr>
              <a:t>Frais de téléphone 2021</a:t>
            </a:r>
            <a:endParaRPr lang="fr-FR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198600174978128"/>
          <c:y val="2.7777777777777776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536526684164476E-2"/>
                  <c:y val="3.078885972586759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Feuil1!$B$4:$B$15</c:f>
              <c:numCache>
                <c:formatCode>General</c:formatCode>
                <c:ptCount val="12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</c:numCache>
            </c:numRef>
          </c:xVal>
          <c:yVal>
            <c:numRef>
              <c:f>Feuil1!$C$4:$C$15</c:f>
              <c:numCache>
                <c:formatCode>_-* #,##0.00\ [$€-40C]_-;\-* #,##0.00\ [$€-40C]_-;_-* "-"??\ [$€-40C]_-;_-@_-</c:formatCode>
                <c:ptCount val="12"/>
                <c:pt idx="0">
                  <c:v>17500</c:v>
                </c:pt>
                <c:pt idx="1">
                  <c:v>25600</c:v>
                </c:pt>
                <c:pt idx="2">
                  <c:v>38000</c:v>
                </c:pt>
                <c:pt idx="3">
                  <c:v>57500</c:v>
                </c:pt>
                <c:pt idx="4">
                  <c:v>76000</c:v>
                </c:pt>
                <c:pt idx="5">
                  <c:v>97500</c:v>
                </c:pt>
                <c:pt idx="6">
                  <c:v>119000</c:v>
                </c:pt>
                <c:pt idx="7">
                  <c:v>147000</c:v>
                </c:pt>
                <c:pt idx="8">
                  <c:v>178000</c:v>
                </c:pt>
                <c:pt idx="9">
                  <c:v>212000</c:v>
                </c:pt>
                <c:pt idx="10">
                  <c:v>224000</c:v>
                </c:pt>
                <c:pt idx="11">
                  <c:v>239000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5-4290-8D2D-B5FFD6873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58640"/>
        <c:axId val="140772784"/>
      </c:scatterChart>
      <c:valAx>
        <c:axId val="14075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commande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772784"/>
        <c:crosses val="autoZero"/>
        <c:crossBetween val="midCat"/>
      </c:valAx>
      <c:valAx>
        <c:axId val="1407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Frais de téléphone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75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ln>
                  <a:solidFill>
                    <a:schemeClr val="accent1"/>
                  </a:solidFill>
                </a:ln>
                <a:solidFill>
                  <a:schemeClr val="accent1"/>
                </a:solidFill>
                <a:latin typeface="+mj-lt"/>
                <a:ea typeface="+mj-ea"/>
                <a:cs typeface="+mj-cs"/>
              </a:defRPr>
            </a:pPr>
            <a:r>
              <a:rPr lang="fr-FR">
                <a:ln>
                  <a:solidFill>
                    <a:schemeClr val="accent1"/>
                  </a:solidFill>
                </a:ln>
                <a:solidFill>
                  <a:schemeClr val="accent1"/>
                </a:solidFill>
              </a:rPr>
              <a:t>Histogramme de frais de téléphone</a:t>
            </a:r>
          </a:p>
        </c:rich>
      </c:tx>
      <c:layout>
        <c:manualLayout>
          <c:xMode val="edge"/>
          <c:yMode val="edge"/>
          <c:x val="0.32210411198600175"/>
          <c:y val="2.7777777777777776E-2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ln>
                <a:solidFill>
                  <a:schemeClr val="accent1"/>
                </a:solidFill>
              </a:ln>
              <a:solidFill>
                <a:schemeClr val="accent1"/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Nbre de commande 40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Feuil1!$C$3:$E$3</c:f>
              <c:strCache>
                <c:ptCount val="3"/>
                <c:pt idx="0">
                  <c:v>Frais de téléphone 2021</c:v>
                </c:pt>
                <c:pt idx="1">
                  <c:v>Frais de téléphone 2022</c:v>
                </c:pt>
                <c:pt idx="2">
                  <c:v>Frais de téléphone 2023</c:v>
                </c:pt>
              </c:strCache>
            </c:strRef>
          </c:cat>
          <c:val>
            <c:numRef>
              <c:f>Feuil1!$C$4:$E$4</c:f>
              <c:numCache>
                <c:formatCode>_-* #.##0\.00\ [$€-40C]_-;\-* #.##0\.00\ [$€-40C]_-;_-* "-"??\ [$€-40C]_-;_-@_-</c:formatCode>
                <c:ptCount val="3"/>
                <c:pt idx="0">
                  <c:v>17500</c:v>
                </c:pt>
                <c:pt idx="1">
                  <c:v>18000</c:v>
                </c:pt>
                <c:pt idx="2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3-4E8A-822C-705247D37A1F}"/>
            </c:ext>
          </c:extLst>
        </c:ser>
        <c:ser>
          <c:idx val="1"/>
          <c:order val="1"/>
          <c:tx>
            <c:v>Nbre de commande 50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Feuil1!$C$3:$E$3</c:f>
              <c:strCache>
                <c:ptCount val="3"/>
                <c:pt idx="0">
                  <c:v>Frais de téléphone 2021</c:v>
                </c:pt>
                <c:pt idx="1">
                  <c:v>Frais de téléphone 2022</c:v>
                </c:pt>
                <c:pt idx="2">
                  <c:v>Frais de téléphone 2023</c:v>
                </c:pt>
              </c:strCache>
            </c:strRef>
          </c:cat>
          <c:val>
            <c:numRef>
              <c:f>Feuil1!$C$5:$E$5</c:f>
              <c:numCache>
                <c:formatCode>_-* #.##0\.00\ [$€-40C]_-;\-* #.##0\.00\ [$€-40C]_-;_-* "-"??\ [$€-40C]_-;_-@_-</c:formatCode>
                <c:ptCount val="3"/>
                <c:pt idx="0">
                  <c:v>25600</c:v>
                </c:pt>
                <c:pt idx="1">
                  <c:v>26000</c:v>
                </c:pt>
                <c:pt idx="2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3-4E8A-822C-705247D3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15532240"/>
        <c:axId val="315531824"/>
      </c:barChart>
      <c:catAx>
        <c:axId val="31553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5531824"/>
        <c:crosses val="autoZero"/>
        <c:auto val="0"/>
        <c:lblAlgn val="ctr"/>
        <c:lblOffset val="100"/>
        <c:noMultiLvlLbl val="0"/>
      </c:catAx>
      <c:valAx>
        <c:axId val="31553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Frais de téléphone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.##0\.00\ [$€-40C]_-;\-* #.##0\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55322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35</xdr:row>
      <xdr:rowOff>19050</xdr:rowOff>
    </xdr:from>
    <xdr:to>
      <xdr:col>5</xdr:col>
      <xdr:colOff>381000</xdr:colOff>
      <xdr:row>50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E9C320-AF3A-492F-9B71-DA3E007A2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563880</xdr:colOff>
      <xdr:row>46</xdr:row>
      <xdr:rowOff>57150</xdr:rowOff>
    </xdr:from>
    <xdr:to>
      <xdr:col>11</xdr:col>
      <xdr:colOff>220980</xdr:colOff>
      <xdr:row>61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A9DECE8-32F2-4A55-BC31-C9823451E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6A78-39D4-46E3-A78C-83893643287C}">
  <sheetPr filterMode="1"/>
  <dimension ref="B3:N45"/>
  <sheetViews>
    <sheetView tabSelected="1" topLeftCell="B24" workbookViewId="0">
      <selection activeCell="M42" sqref="M42"/>
    </sheetView>
  </sheetViews>
  <sheetFormatPr baseColWidth="10" defaultRowHeight="14.4" x14ac:dyDescent="0.3"/>
  <cols>
    <col min="2" max="2" width="19.77734375" bestFit="1" customWidth="1"/>
    <col min="3" max="5" width="20.44140625" bestFit="1" customWidth="1"/>
    <col min="7" max="7" width="12.6640625" bestFit="1" customWidth="1"/>
    <col min="8" max="8" width="11.6640625" bestFit="1" customWidth="1"/>
    <col min="9" max="9" width="12.6640625" bestFit="1" customWidth="1"/>
    <col min="13" max="13" width="13.5546875" bestFit="1" customWidth="1"/>
  </cols>
  <sheetData>
    <row r="3" spans="2:14" x14ac:dyDescent="0.3">
      <c r="B3" t="s">
        <v>0</v>
      </c>
      <c r="C3" t="s">
        <v>1</v>
      </c>
      <c r="D3" t="s">
        <v>2</v>
      </c>
      <c r="E3" t="s">
        <v>3</v>
      </c>
      <c r="G3" s="8" t="s">
        <v>4</v>
      </c>
      <c r="H3" s="8" t="s">
        <v>5</v>
      </c>
      <c r="K3" s="9" t="s">
        <v>7</v>
      </c>
    </row>
    <row r="4" spans="2:14" x14ac:dyDescent="0.3">
      <c r="B4" s="1" cm="1">
        <f t="array" ref="B4:B15">_xlfn.SEQUENCE(12, 1, 40,10)</f>
        <v>40</v>
      </c>
      <c r="C4" s="2">
        <v>17500</v>
      </c>
      <c r="D4" s="2">
        <v>18000</v>
      </c>
      <c r="E4" s="2">
        <v>18500</v>
      </c>
      <c r="F4" s="1"/>
      <c r="G4" s="2">
        <f>AVERAGE(C4:E4)</f>
        <v>18000</v>
      </c>
      <c r="H4" s="2">
        <f>STDEV(C4:E4)</f>
        <v>500</v>
      </c>
      <c r="I4" s="1"/>
      <c r="J4" s="1"/>
      <c r="K4" s="3">
        <f>(E4-C4)/C4</f>
        <v>5.7142857142857141E-2</v>
      </c>
      <c r="L4" s="4">
        <f>(E4-C4)/C4</f>
        <v>5.7142857142857141E-2</v>
      </c>
      <c r="M4" s="1" t="str">
        <f>IF(L4&gt;0, "BILAN POSITIF", "BILAN NEGATIF")</f>
        <v>BILAN POSITIF</v>
      </c>
      <c r="N4" t="str">
        <f>IF(L4=0, "BILAN NUL", IF(L4&gt;0, "BILAN POSITIF", "BILAN NEGATIF"))</f>
        <v>BILAN POSITIF</v>
      </c>
    </row>
    <row r="5" spans="2:14" x14ac:dyDescent="0.3">
      <c r="B5" s="1">
        <v>50</v>
      </c>
      <c r="C5" s="2">
        <v>25600</v>
      </c>
      <c r="D5" s="2">
        <v>26000</v>
      </c>
      <c r="E5" s="2">
        <v>26000</v>
      </c>
      <c r="F5" s="1"/>
      <c r="G5" s="2">
        <f t="shared" ref="G5:G15" si="0">AVERAGE(C5:E5)</f>
        <v>25866.666666666668</v>
      </c>
      <c r="H5" s="2">
        <f t="shared" ref="H5:H15" si="1">STDEV(C5:E5)</f>
        <v>230.94010767585033</v>
      </c>
      <c r="J5" s="1"/>
      <c r="K5" s="3">
        <f t="shared" ref="K5:K15" si="2">(E5-C5)/C5</f>
        <v>1.5625E-2</v>
      </c>
      <c r="L5" s="4">
        <f t="shared" ref="L5:L15" si="3">(E5-C5)/C5</f>
        <v>1.5625E-2</v>
      </c>
      <c r="M5" s="1" t="str">
        <f t="shared" ref="M5:M15" si="4">IF(L5&gt;0, "BILAN POSITIF", "BILAN NEGATIF")</f>
        <v>BILAN POSITIF</v>
      </c>
      <c r="N5" t="str">
        <f t="shared" ref="N5:N15" si="5">IF(L5=0, "BILAN NUL", IF(L5&gt;0, "BILAN POSITIF", "BILAN NEGATIF"))</f>
        <v>BILAN POSITIF</v>
      </c>
    </row>
    <row r="6" spans="2:14" x14ac:dyDescent="0.3">
      <c r="B6" s="1">
        <v>60</v>
      </c>
      <c r="C6" s="2">
        <v>38000</v>
      </c>
      <c r="D6" s="2">
        <v>36000</v>
      </c>
      <c r="E6" s="2">
        <v>39000</v>
      </c>
      <c r="F6" s="1"/>
      <c r="G6" s="2">
        <f t="shared" si="0"/>
        <v>37666.666666666664</v>
      </c>
      <c r="H6" s="2">
        <f t="shared" si="1"/>
        <v>1527.5252316519468</v>
      </c>
      <c r="J6" s="1"/>
      <c r="K6" s="3">
        <f t="shared" si="2"/>
        <v>2.6315789473684209E-2</v>
      </c>
      <c r="L6" s="4">
        <f t="shared" si="3"/>
        <v>2.6315789473684209E-2</v>
      </c>
      <c r="M6" s="1" t="str">
        <f t="shared" si="4"/>
        <v>BILAN POSITIF</v>
      </c>
      <c r="N6" t="str">
        <f t="shared" si="5"/>
        <v>BILAN POSITIF</v>
      </c>
    </row>
    <row r="7" spans="2:14" x14ac:dyDescent="0.3">
      <c r="B7" s="1">
        <v>70</v>
      </c>
      <c r="C7" s="2">
        <v>57500</v>
      </c>
      <c r="D7" s="2">
        <v>58000</v>
      </c>
      <c r="E7" s="2">
        <v>58000</v>
      </c>
      <c r="F7" s="1"/>
      <c r="G7" s="2">
        <f t="shared" si="0"/>
        <v>57833.333333333336</v>
      </c>
      <c r="H7" s="2">
        <f t="shared" si="1"/>
        <v>288.67513459481285</v>
      </c>
      <c r="I7" s="1"/>
      <c r="J7" s="1"/>
      <c r="K7" s="3">
        <f t="shared" si="2"/>
        <v>8.6956521739130436E-3</v>
      </c>
      <c r="L7" s="4">
        <f t="shared" si="3"/>
        <v>8.6956521739130436E-3</v>
      </c>
      <c r="M7" s="1" t="str">
        <f t="shared" si="4"/>
        <v>BILAN POSITIF</v>
      </c>
      <c r="N7" t="str">
        <f t="shared" si="5"/>
        <v>BILAN POSITIF</v>
      </c>
    </row>
    <row r="8" spans="2:14" x14ac:dyDescent="0.3">
      <c r="B8" s="1">
        <v>80</v>
      </c>
      <c r="C8" s="2">
        <v>76000</v>
      </c>
      <c r="D8" s="2">
        <v>67000</v>
      </c>
      <c r="E8" s="2">
        <v>72000</v>
      </c>
      <c r="F8" s="1"/>
      <c r="G8" s="2">
        <f t="shared" si="0"/>
        <v>71666.666666666672</v>
      </c>
      <c r="H8" s="2">
        <f t="shared" si="1"/>
        <v>4509.2497528228942</v>
      </c>
      <c r="I8" s="1"/>
      <c r="J8" s="1"/>
      <c r="K8" s="3">
        <f t="shared" si="2"/>
        <v>-5.2631578947368418E-2</v>
      </c>
      <c r="L8" s="4">
        <f t="shared" si="3"/>
        <v>-5.2631578947368418E-2</v>
      </c>
      <c r="M8" s="1" t="str">
        <f t="shared" si="4"/>
        <v>BILAN NEGATIF</v>
      </c>
      <c r="N8" t="str">
        <f t="shared" si="5"/>
        <v>BILAN NEGATIF</v>
      </c>
    </row>
    <row r="9" spans="2:14" x14ac:dyDescent="0.3">
      <c r="B9" s="1">
        <v>90</v>
      </c>
      <c r="C9" s="2">
        <v>97500</v>
      </c>
      <c r="D9" s="2">
        <v>95000</v>
      </c>
      <c r="E9" s="2">
        <v>100000</v>
      </c>
      <c r="F9" s="1"/>
      <c r="G9" s="2">
        <f t="shared" si="0"/>
        <v>97500</v>
      </c>
      <c r="H9" s="2">
        <f t="shared" si="1"/>
        <v>2500</v>
      </c>
      <c r="I9" s="1"/>
      <c r="J9" s="1"/>
      <c r="K9" s="3">
        <f t="shared" si="2"/>
        <v>2.564102564102564E-2</v>
      </c>
      <c r="L9" s="4">
        <f t="shared" si="3"/>
        <v>2.564102564102564E-2</v>
      </c>
      <c r="M9" s="1" t="str">
        <f t="shared" si="4"/>
        <v>BILAN POSITIF</v>
      </c>
      <c r="N9" t="str">
        <f t="shared" si="5"/>
        <v>BILAN POSITIF</v>
      </c>
    </row>
    <row r="10" spans="2:14" x14ac:dyDescent="0.3">
      <c r="B10" s="1">
        <v>100</v>
      </c>
      <c r="C10" s="2">
        <v>119000</v>
      </c>
      <c r="D10" s="2">
        <v>114000</v>
      </c>
      <c r="E10" s="2">
        <v>110000</v>
      </c>
      <c r="F10" s="1"/>
      <c r="G10" s="2">
        <f t="shared" si="0"/>
        <v>114333.33333333333</v>
      </c>
      <c r="H10" s="2">
        <f t="shared" si="1"/>
        <v>4509.2497528228942</v>
      </c>
      <c r="I10" s="1"/>
      <c r="J10" s="1"/>
      <c r="K10" s="3">
        <f t="shared" si="2"/>
        <v>-7.5630252100840331E-2</v>
      </c>
      <c r="L10" s="4">
        <f t="shared" si="3"/>
        <v>-7.5630252100840331E-2</v>
      </c>
      <c r="M10" s="1" t="str">
        <f t="shared" si="4"/>
        <v>BILAN NEGATIF</v>
      </c>
      <c r="N10" t="str">
        <f t="shared" si="5"/>
        <v>BILAN NEGATIF</v>
      </c>
    </row>
    <row r="11" spans="2:14" x14ac:dyDescent="0.3">
      <c r="B11" s="1">
        <v>110</v>
      </c>
      <c r="C11" s="2">
        <v>147000</v>
      </c>
      <c r="D11" s="2">
        <v>148000</v>
      </c>
      <c r="E11" s="2">
        <v>155000</v>
      </c>
      <c r="F11" s="1"/>
      <c r="G11" s="2">
        <f t="shared" si="0"/>
        <v>150000</v>
      </c>
      <c r="H11" s="2">
        <f t="shared" si="1"/>
        <v>4358.8989435406738</v>
      </c>
      <c r="I11" s="1"/>
      <c r="J11" s="1"/>
      <c r="K11" s="3">
        <f t="shared" si="2"/>
        <v>5.4421768707482991E-2</v>
      </c>
      <c r="L11" s="4">
        <f t="shared" si="3"/>
        <v>5.4421768707482991E-2</v>
      </c>
      <c r="M11" s="1" t="str">
        <f t="shared" si="4"/>
        <v>BILAN POSITIF</v>
      </c>
      <c r="N11" t="str">
        <f t="shared" si="5"/>
        <v>BILAN POSITIF</v>
      </c>
    </row>
    <row r="12" spans="2:14" x14ac:dyDescent="0.3">
      <c r="B12" s="1">
        <v>120</v>
      </c>
      <c r="C12" s="2">
        <v>178000</v>
      </c>
      <c r="D12" s="2">
        <v>175000</v>
      </c>
      <c r="E12" s="2">
        <v>178000</v>
      </c>
      <c r="F12" s="1"/>
      <c r="G12" s="2">
        <f t="shared" si="0"/>
        <v>177000</v>
      </c>
      <c r="H12" s="2">
        <f t="shared" si="1"/>
        <v>1732.0508075688772</v>
      </c>
      <c r="I12" s="1"/>
      <c r="J12" s="1"/>
      <c r="K12" s="3">
        <f t="shared" si="2"/>
        <v>0</v>
      </c>
      <c r="L12" s="4">
        <f t="shared" si="3"/>
        <v>0</v>
      </c>
      <c r="M12" s="1" t="str">
        <f>IF(L12=0, "BILAN NUL", "BILAN NEGATIF")</f>
        <v>BILAN NUL</v>
      </c>
      <c r="N12" t="str">
        <f t="shared" si="5"/>
        <v>BILAN NUL</v>
      </c>
    </row>
    <row r="13" spans="2:14" x14ac:dyDescent="0.3">
      <c r="B13" s="1">
        <v>130</v>
      </c>
      <c r="C13" s="2">
        <v>212000</v>
      </c>
      <c r="D13" s="2">
        <v>215000</v>
      </c>
      <c r="E13" s="2">
        <v>200000</v>
      </c>
      <c r="F13" s="1"/>
      <c r="G13" s="2">
        <f t="shared" si="0"/>
        <v>209000</v>
      </c>
      <c r="H13" s="2">
        <f t="shared" si="1"/>
        <v>7937.2539331937714</v>
      </c>
      <c r="I13" s="1"/>
      <c r="J13" s="1"/>
      <c r="K13" s="3">
        <f t="shared" si="2"/>
        <v>-5.6603773584905662E-2</v>
      </c>
      <c r="L13" s="4">
        <f t="shared" si="3"/>
        <v>-5.6603773584905662E-2</v>
      </c>
      <c r="M13" s="1" t="str">
        <f t="shared" si="4"/>
        <v>BILAN NEGATIF</v>
      </c>
      <c r="N13" t="str">
        <f t="shared" si="5"/>
        <v>BILAN NEGATIF</v>
      </c>
    </row>
    <row r="14" spans="2:14" x14ac:dyDescent="0.3">
      <c r="B14" s="1">
        <v>140</v>
      </c>
      <c r="C14" s="2">
        <v>224000</v>
      </c>
      <c r="D14" s="2">
        <v>220000</v>
      </c>
      <c r="E14" s="2">
        <v>215000</v>
      </c>
      <c r="F14" s="1"/>
      <c r="G14" s="2">
        <f t="shared" si="0"/>
        <v>219666.66666666666</v>
      </c>
      <c r="H14" s="2">
        <f t="shared" si="1"/>
        <v>4509.2497528228942</v>
      </c>
      <c r="I14" s="1"/>
      <c r="J14" s="1"/>
      <c r="K14" s="3">
        <f t="shared" si="2"/>
        <v>-4.0178571428571432E-2</v>
      </c>
      <c r="L14" s="4">
        <f t="shared" si="3"/>
        <v>-4.0178571428571432E-2</v>
      </c>
      <c r="M14" s="1" t="str">
        <f t="shared" si="4"/>
        <v>BILAN NEGATIF</v>
      </c>
      <c r="N14" t="str">
        <f t="shared" si="5"/>
        <v>BILAN NEGATIF</v>
      </c>
    </row>
    <row r="15" spans="2:14" x14ac:dyDescent="0.3">
      <c r="B15" s="1">
        <v>150</v>
      </c>
      <c r="C15" s="2">
        <v>239000</v>
      </c>
      <c r="D15" s="2">
        <v>250000</v>
      </c>
      <c r="E15" s="2">
        <v>225000</v>
      </c>
      <c r="F15" s="1"/>
      <c r="G15" s="2">
        <f t="shared" si="0"/>
        <v>238000</v>
      </c>
      <c r="H15" s="2">
        <f t="shared" si="1"/>
        <v>12529.964086141668</v>
      </c>
      <c r="I15" s="1"/>
      <c r="J15" s="1"/>
      <c r="K15" s="3">
        <f t="shared" si="2"/>
        <v>-5.8577405857740586E-2</v>
      </c>
      <c r="L15" s="4">
        <f t="shared" si="3"/>
        <v>-5.8577405857740586E-2</v>
      </c>
      <c r="M15" s="1" t="str">
        <f t="shared" si="4"/>
        <v>BILAN NEGATIF</v>
      </c>
      <c r="N15" t="str">
        <f t="shared" si="5"/>
        <v>BILAN NEGATIF</v>
      </c>
    </row>
    <row r="16" spans="2:1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4" x14ac:dyDescent="0.3">
      <c r="C17" s="7" t="s">
        <v>6</v>
      </c>
    </row>
    <row r="18" spans="2:14" x14ac:dyDescent="0.3">
      <c r="B18" t="s">
        <v>4</v>
      </c>
      <c r="C18" s="5">
        <f>AVERAGE(C4:C15)</f>
        <v>119258.33333333333</v>
      </c>
    </row>
    <row r="19" spans="2:14" x14ac:dyDescent="0.3">
      <c r="B19" t="s">
        <v>5</v>
      </c>
      <c r="C19" s="6">
        <f>STDEV(C4:C15)</f>
        <v>79782.949401181671</v>
      </c>
    </row>
    <row r="21" spans="2:14" x14ac:dyDescent="0.3">
      <c r="B21" t="s">
        <v>0</v>
      </c>
      <c r="C21" t="s">
        <v>1</v>
      </c>
      <c r="D21" t="s">
        <v>2</v>
      </c>
      <c r="E21" t="s">
        <v>3</v>
      </c>
    </row>
    <row r="22" spans="2:14" x14ac:dyDescent="0.3">
      <c r="B22" s="1" cm="1">
        <f t="array" ref="B22:B33">_xlfn.SEQUENCE(12, 1, 40,10)</f>
        <v>40</v>
      </c>
      <c r="C22" s="2">
        <v>17500</v>
      </c>
      <c r="D22" s="2">
        <v>18000</v>
      </c>
      <c r="E22" s="2">
        <v>18500</v>
      </c>
      <c r="F22" s="1"/>
      <c r="G22" s="1"/>
      <c r="H22" s="1"/>
      <c r="I22" s="1"/>
      <c r="J22" s="1"/>
      <c r="K22" s="3">
        <f>(E22-C22)/C22</f>
        <v>5.7142857142857141E-2</v>
      </c>
      <c r="L22" s="4">
        <f>(E22-C22)/C22</f>
        <v>5.7142857142857141E-2</v>
      </c>
      <c r="M22" s="1" t="str">
        <f>IF(L22&gt;0, "BILAN POSITIF", "BILAN NEGATIF")</f>
        <v>BILAN POSITIF</v>
      </c>
      <c r="N22" t="str">
        <f>IF(L22=0, "BILAN NUL", IF(L22&gt;0, "BILAN POSITIF", "BILAN NEGATIF"))</f>
        <v>BILAN POSITIF</v>
      </c>
    </row>
    <row r="23" spans="2:14" x14ac:dyDescent="0.3">
      <c r="B23" s="1">
        <v>50</v>
      </c>
      <c r="C23" s="2">
        <v>25600</v>
      </c>
      <c r="D23" s="2">
        <v>26000</v>
      </c>
      <c r="E23" s="2">
        <v>26000</v>
      </c>
      <c r="F23" s="1"/>
      <c r="G23" s="1"/>
      <c r="H23" s="1"/>
      <c r="I23" s="2">
        <f>AVERAGE(C22:C33)</f>
        <v>119258.33333333333</v>
      </c>
      <c r="J23" s="1"/>
      <c r="K23" s="3">
        <f t="shared" ref="K23:K33" si="6">(E23-C23)/C23</f>
        <v>1.5625E-2</v>
      </c>
      <c r="L23" s="4">
        <f t="shared" ref="L23:L33" si="7">(E23-C23)/C23</f>
        <v>1.5625E-2</v>
      </c>
      <c r="M23" s="1" t="str">
        <f t="shared" ref="M23:M29" si="8">IF(L23&gt;0, "BILAN POSITIF", "BILAN NEGATIF")</f>
        <v>BILAN POSITIF</v>
      </c>
      <c r="N23" t="str">
        <f t="shared" ref="N23:N33" si="9">IF(L23=0, "BILAN NUL", IF(L23&gt;0, "BILAN POSITIF", "BILAN NEGATIF"))</f>
        <v>BILAN POSITIF</v>
      </c>
    </row>
    <row r="24" spans="2:14" x14ac:dyDescent="0.3">
      <c r="B24" s="1">
        <v>60</v>
      </c>
      <c r="C24" s="2">
        <v>38000</v>
      </c>
      <c r="D24" s="2">
        <v>36000</v>
      </c>
      <c r="E24" s="2">
        <v>39000</v>
      </c>
      <c r="F24" s="1"/>
      <c r="G24" s="1"/>
      <c r="H24" s="1"/>
      <c r="I24" s="1">
        <f>STDEV(C22:C33)</f>
        <v>79782.949401181671</v>
      </c>
      <c r="J24" s="1"/>
      <c r="K24" s="3">
        <f t="shared" si="6"/>
        <v>2.6315789473684209E-2</v>
      </c>
      <c r="L24" s="4">
        <f t="shared" si="7"/>
        <v>2.6315789473684209E-2</v>
      </c>
      <c r="M24" s="1" t="str">
        <f t="shared" si="8"/>
        <v>BILAN POSITIF</v>
      </c>
      <c r="N24" t="str">
        <f t="shared" si="9"/>
        <v>BILAN POSITIF</v>
      </c>
    </row>
    <row r="25" spans="2:14" x14ac:dyDescent="0.3">
      <c r="B25" s="1">
        <v>70</v>
      </c>
      <c r="C25" s="2">
        <v>57500</v>
      </c>
      <c r="D25" s="2">
        <v>58000</v>
      </c>
      <c r="E25" s="2">
        <v>58000</v>
      </c>
      <c r="F25" s="1"/>
      <c r="G25" s="1"/>
      <c r="H25" s="1"/>
      <c r="I25" s="1"/>
      <c r="J25" s="1"/>
      <c r="K25" s="3">
        <f t="shared" si="6"/>
        <v>8.6956521739130436E-3</v>
      </c>
      <c r="L25" s="4">
        <f t="shared" si="7"/>
        <v>8.6956521739130436E-3</v>
      </c>
      <c r="M25" s="1" t="str">
        <f t="shared" si="8"/>
        <v>BILAN POSITIF</v>
      </c>
      <c r="N25" t="str">
        <f t="shared" si="9"/>
        <v>BILAN POSITIF</v>
      </c>
    </row>
    <row r="26" spans="2:14" hidden="1" x14ac:dyDescent="0.3">
      <c r="B26" s="1">
        <v>80</v>
      </c>
      <c r="C26" s="2">
        <v>76000</v>
      </c>
      <c r="D26" s="2">
        <v>67000</v>
      </c>
      <c r="E26" s="2">
        <v>72000</v>
      </c>
      <c r="F26" s="1"/>
      <c r="G26" s="1"/>
      <c r="H26" s="1"/>
      <c r="I26" s="1"/>
      <c r="J26" s="1"/>
      <c r="K26" s="3">
        <f t="shared" si="6"/>
        <v>-5.2631578947368418E-2</v>
      </c>
      <c r="L26" s="4">
        <f t="shared" si="7"/>
        <v>-5.2631578947368418E-2</v>
      </c>
      <c r="M26" s="1" t="str">
        <f t="shared" si="8"/>
        <v>BILAN NEGATIF</v>
      </c>
      <c r="N26" t="str">
        <f t="shared" si="9"/>
        <v>BILAN NEGATIF</v>
      </c>
    </row>
    <row r="27" spans="2:14" x14ac:dyDescent="0.3">
      <c r="B27" s="1">
        <v>90</v>
      </c>
      <c r="C27" s="2">
        <v>97500</v>
      </c>
      <c r="D27" s="2">
        <v>95000</v>
      </c>
      <c r="E27" s="2">
        <v>100000</v>
      </c>
      <c r="F27" s="1"/>
      <c r="G27" s="1"/>
      <c r="H27" s="1"/>
      <c r="I27" s="1"/>
      <c r="J27" s="1"/>
      <c r="K27" s="3">
        <f t="shared" si="6"/>
        <v>2.564102564102564E-2</v>
      </c>
      <c r="L27" s="4">
        <f t="shared" si="7"/>
        <v>2.564102564102564E-2</v>
      </c>
      <c r="M27" s="1" t="str">
        <f t="shared" si="8"/>
        <v>BILAN POSITIF</v>
      </c>
      <c r="N27" t="str">
        <f t="shared" si="9"/>
        <v>BILAN POSITIF</v>
      </c>
    </row>
    <row r="28" spans="2:14" hidden="1" x14ac:dyDescent="0.3">
      <c r="B28" s="1">
        <v>100</v>
      </c>
      <c r="C28" s="2">
        <v>119000</v>
      </c>
      <c r="D28" s="2">
        <v>114000</v>
      </c>
      <c r="E28" s="2">
        <v>110000</v>
      </c>
      <c r="F28" s="1"/>
      <c r="G28" s="1"/>
      <c r="H28" s="1"/>
      <c r="I28" s="1"/>
      <c r="J28" s="1"/>
      <c r="K28" s="3">
        <f t="shared" si="6"/>
        <v>-7.5630252100840331E-2</v>
      </c>
      <c r="L28" s="4">
        <f t="shared" si="7"/>
        <v>-7.5630252100840331E-2</v>
      </c>
      <c r="M28" s="1" t="str">
        <f t="shared" si="8"/>
        <v>BILAN NEGATIF</v>
      </c>
      <c r="N28" t="str">
        <f t="shared" si="9"/>
        <v>BILAN NEGATIF</v>
      </c>
    </row>
    <row r="29" spans="2:14" x14ac:dyDescent="0.3">
      <c r="B29" s="1">
        <v>110</v>
      </c>
      <c r="C29" s="2">
        <v>147000</v>
      </c>
      <c r="D29" s="2">
        <v>148000</v>
      </c>
      <c r="E29" s="2">
        <v>155000</v>
      </c>
      <c r="F29" s="1"/>
      <c r="G29" s="1"/>
      <c r="H29" s="1"/>
      <c r="I29" s="1"/>
      <c r="J29" s="1"/>
      <c r="K29" s="3">
        <f t="shared" si="6"/>
        <v>5.4421768707482991E-2</v>
      </c>
      <c r="L29" s="4">
        <f t="shared" si="7"/>
        <v>5.4421768707482991E-2</v>
      </c>
      <c r="M29" s="1" t="str">
        <f t="shared" si="8"/>
        <v>BILAN POSITIF</v>
      </c>
      <c r="N29" t="str">
        <f t="shared" si="9"/>
        <v>BILAN POSITIF</v>
      </c>
    </row>
    <row r="30" spans="2:14" x14ac:dyDescent="0.3">
      <c r="B30" s="1">
        <v>120</v>
      </c>
      <c r="C30" s="2">
        <v>178000</v>
      </c>
      <c r="D30" s="2">
        <v>175000</v>
      </c>
      <c r="E30" s="2">
        <v>178000</v>
      </c>
      <c r="F30" s="1"/>
      <c r="G30" s="1"/>
      <c r="H30" s="1"/>
      <c r="I30" s="1"/>
      <c r="J30" s="1"/>
      <c r="K30" s="3">
        <f t="shared" si="6"/>
        <v>0</v>
      </c>
      <c r="L30" s="4">
        <f t="shared" si="7"/>
        <v>0</v>
      </c>
      <c r="M30" s="1" t="str">
        <f>IF(L30=0, "BILAN NUL", "BILAN NEGATIF")</f>
        <v>BILAN NUL</v>
      </c>
      <c r="N30" t="str">
        <f t="shared" si="9"/>
        <v>BILAN NUL</v>
      </c>
    </row>
    <row r="31" spans="2:14" hidden="1" x14ac:dyDescent="0.3">
      <c r="B31" s="1">
        <v>130</v>
      </c>
      <c r="C31" s="2">
        <v>212000</v>
      </c>
      <c r="D31" s="2">
        <v>215000</v>
      </c>
      <c r="E31" s="2">
        <v>200000</v>
      </c>
      <c r="F31" s="1"/>
      <c r="G31" s="1"/>
      <c r="H31" s="1"/>
      <c r="I31" s="1"/>
      <c r="J31" s="1"/>
      <c r="K31" s="3">
        <f t="shared" si="6"/>
        <v>-5.6603773584905662E-2</v>
      </c>
      <c r="L31" s="4">
        <f t="shared" si="7"/>
        <v>-5.6603773584905662E-2</v>
      </c>
      <c r="M31" s="1" t="str">
        <f t="shared" ref="M31:M33" si="10">IF(L31&gt;0, "BILAN POSITIF", "BILAN NEGATIF")</f>
        <v>BILAN NEGATIF</v>
      </c>
      <c r="N31" t="str">
        <f t="shared" si="9"/>
        <v>BILAN NEGATIF</v>
      </c>
    </row>
    <row r="32" spans="2:14" hidden="1" x14ac:dyDescent="0.3">
      <c r="B32" s="1">
        <v>140</v>
      </c>
      <c r="C32" s="2">
        <v>224000</v>
      </c>
      <c r="D32" s="2">
        <v>220000</v>
      </c>
      <c r="E32" s="2">
        <v>215000</v>
      </c>
      <c r="F32" s="1"/>
      <c r="G32" s="1"/>
      <c r="H32" s="1"/>
      <c r="I32" s="1"/>
      <c r="J32" s="1"/>
      <c r="K32" s="3">
        <f t="shared" si="6"/>
        <v>-4.0178571428571432E-2</v>
      </c>
      <c r="L32" s="4">
        <f t="shared" si="7"/>
        <v>-4.0178571428571432E-2</v>
      </c>
      <c r="M32" s="1" t="str">
        <f t="shared" si="10"/>
        <v>BILAN NEGATIF</v>
      </c>
      <c r="N32" t="str">
        <f t="shared" si="9"/>
        <v>BILAN NEGATIF</v>
      </c>
    </row>
    <row r="33" spans="2:14" hidden="1" x14ac:dyDescent="0.3">
      <c r="B33" s="1">
        <v>150</v>
      </c>
      <c r="C33" s="2">
        <v>239000</v>
      </c>
      <c r="D33" s="2">
        <v>250000</v>
      </c>
      <c r="E33" s="2">
        <v>225000</v>
      </c>
      <c r="F33" s="1"/>
      <c r="G33" s="1"/>
      <c r="H33" s="1"/>
      <c r="I33" s="1"/>
      <c r="J33" s="1"/>
      <c r="K33" s="3">
        <f t="shared" si="6"/>
        <v>-5.8577405857740586E-2</v>
      </c>
      <c r="L33" s="4">
        <f t="shared" si="7"/>
        <v>-5.8577405857740586E-2</v>
      </c>
      <c r="M33" s="1" t="str">
        <f t="shared" si="10"/>
        <v>BILAN NEGATIF</v>
      </c>
      <c r="N33" t="str">
        <f t="shared" si="9"/>
        <v>BILAN NEGATIF</v>
      </c>
    </row>
    <row r="38" spans="2:14" x14ac:dyDescent="0.3">
      <c r="G38" s="10" t="s">
        <v>8</v>
      </c>
    </row>
    <row r="39" spans="2:14" x14ac:dyDescent="0.3">
      <c r="G39">
        <f>SLOPE(C4:C15,B4:B15)</f>
        <v>2194.7902097902097</v>
      </c>
    </row>
    <row r="41" spans="2:14" x14ac:dyDescent="0.3">
      <c r="G41" s="13" t="s">
        <v>9</v>
      </c>
      <c r="H41" s="13"/>
    </row>
    <row r="42" spans="2:14" x14ac:dyDescent="0.3">
      <c r="G42" s="14">
        <f>INTERCEPT(C4:C15,B4:B15)</f>
        <v>-89246.736596736606</v>
      </c>
      <c r="H42" s="14"/>
    </row>
    <row r="44" spans="2:14" x14ac:dyDescent="0.3">
      <c r="G44" s="11" t="s">
        <v>10</v>
      </c>
      <c r="H44" s="11"/>
      <c r="I44" s="12"/>
    </row>
    <row r="45" spans="2:14" x14ac:dyDescent="0.3">
      <c r="G45" s="14">
        <f>RSQ(C4:C15,B4:B15)</f>
        <v>0.98380541015809231</v>
      </c>
      <c r="H45" s="14"/>
      <c r="I45" s="14"/>
    </row>
  </sheetData>
  <autoFilter ref="L22:L33" xr:uid="{0F306A78-39D4-46E3-A78C-83893643287C}">
    <filterColumn colId="0">
      <customFilters>
        <customFilter operator="greaterThanOrEqual" val="0"/>
      </customFilters>
    </filterColumn>
  </autoFilter>
  <mergeCells count="3">
    <mergeCell ref="G41:H41"/>
    <mergeCell ref="G42:H42"/>
    <mergeCell ref="G45:I45"/>
  </mergeCells>
  <conditionalFormatting sqref="L4:L15">
    <cfRule type="cellIs" dxfId="7" priority="6" operator="equal">
      <formula>0</formula>
    </cfRule>
    <cfRule type="cellIs" dxfId="6" priority="7" operator="greaterThan">
      <formula>0</formula>
    </cfRule>
    <cfRule type="cellIs" dxfId="5" priority="8" operator="lessThan">
      <formula>0</formula>
    </cfRule>
  </conditionalFormatting>
  <conditionalFormatting sqref="K4:K15">
    <cfRule type="cellIs" dxfId="4" priority="5" operator="greaterThan">
      <formula>5%</formula>
    </cfRule>
  </conditionalFormatting>
  <conditionalFormatting sqref="L22:L33">
    <cfRule type="cellIs" dxfId="3" priority="2" operator="equal">
      <formula>0</formula>
    </cfRule>
    <cfRule type="cellIs" dxfId="2" priority="3" operator="greaterThan">
      <formula>0</formula>
    </cfRule>
    <cfRule type="cellIs" dxfId="1" priority="4" operator="lessThan">
      <formula>0</formula>
    </cfRule>
  </conditionalFormatting>
  <conditionalFormatting sqref="K22:K33">
    <cfRule type="cellIs" dxfId="0" priority="1" operator="greaterThan">
      <formula>5%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TITE</dc:creator>
  <cp:lastModifiedBy>Teddy Tite</cp:lastModifiedBy>
  <dcterms:created xsi:type="dcterms:W3CDTF">2024-12-01T08:26:30Z</dcterms:created>
  <dcterms:modified xsi:type="dcterms:W3CDTF">2025-02-24T06:15:41Z</dcterms:modified>
</cp:coreProperties>
</file>